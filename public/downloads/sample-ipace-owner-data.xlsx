
<file path=[Content_Types].xml><?xml version="1.0" encoding="utf-8"?>
<Types xmlns="http://schemas.openxmlformats.org/package/2006/content-types">
  <Default Extension="rels" ContentType="application/vnd.openxmlformats-package.relationships+xml"/>
  <Default Extension="xml" ContentType="application/xml"/>
  <Default Extension="wmf" ContentType="image/x-wmf"/>
  <Default Extension="emz" ContentType="image/x-emz"/>
  <Default Extension="ico" ContentType="image/x-ico"/>
  <Default Extension="png" ContentType="image/png"/>
  <Default Extension="gif" ContentType="image/gif"/>
  <Default Extension="svg" ContentType="image/svg"/>
  <Default Extension="emf" ContentType="image/x-emf"/>
  <Default Extension="wmz" ContentType="image/x-wmz"/>
  <Default Extension="bmp" ContentType="image/bmp"/>
  <Default Extension="jpeg" ContentType="image/jpeg"/>
  <Default Extension="tiff" ContentType="image/tif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charts/chart1.xml" ContentType="application/vnd.openxmlformats-officedocument.drawingml.chart+xml"/>
  <Override PartName="/xl/drawings/drawing1.xml" ContentType="application/vnd.openxmlformats-officedocument.drawing+xml"/>
  <Override PartName="/xl/charts/chart2.xml" ContentType="application/vnd.openxmlformats-officedocument.drawingml.char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ummary" sheetId="1" r:id="rId1"/>
    <sheet name="Membership" sheetId="2" r:id="rId4"/>
    <sheet name="Vehicles" sheetId="3" r:id="rId5"/>
    <sheet name="SoH History" sheetId="4" r:id="rId6"/>
    <sheet name="Service &amp; Faults" sheetId="5" r:id="rId7"/>
    <sheet name="Experiences" sheetId="6" r:id="rId8"/>
  </sheets>
  <definedNames>
    <definedName hidden="true" localSheetId="1" name="_xlnm._FilterDatabase">'Membership'!$A$1:$M$2</definedName>
    <definedName hidden="true" localSheetId="2" name="_xlnm._FilterDatabase">'Vehicles'!$A$1:$N$3</definedName>
    <definedName hidden="true" localSheetId="3" name="_xlnm._FilterDatabase">'SoH History'!$A$1:$G$6</definedName>
    <definedName hidden="true" localSheetId="4" name="_xlnm._FilterDatabase">'Service &amp; Faults'!$A$1:$AA$5</definedName>
  </definedNames>
  <calcPr calcId="122211"/>
</workbook>
</file>

<file path=xl/sharedStrings.xml><?xml version="1.0" encoding="utf-8"?>
<sst xmlns="http://schemas.openxmlformats.org/spreadsheetml/2006/main" count="139" uniqueCount="139">
  <si>
    <t>My I-PACE owner data</t>
  </si>
  <si>
    <t>Generated</t>
  </si>
  <si>
    <t>28 July 2026 09:00 UTC</t>
  </si>
  <si>
    <t>Member email</t>
  </si>
  <si>
    <t>alex.owner@example.test</t>
  </si>
  <si>
    <t>Membership records</t>
  </si>
  <si>
    <t>Vehicles</t>
  </si>
  <si>
    <t>SoH readings</t>
  </si>
  <si>
    <t>Service and fault events</t>
  </si>
  <si>
    <t>Member experiences</t>
  </si>
  <si>
    <t>This workbook is a portable copy of the data currently saved in your member account. It excludes internal identity and security hashes.</t>
  </si>
  <si>
    <t>Event type</t>
  </si>
  <si>
    <t>Count</t>
  </si>
  <si>
    <t>fault</t>
  </si>
  <si>
    <t>inspection</t>
  </si>
  <si>
    <t>recall</t>
  </si>
  <si>
    <t>service</t>
  </si>
  <si>
    <t>Email</t>
  </si>
  <si>
    <t>Name</t>
  </si>
  <si>
    <t>Country</t>
  </si>
  <si>
    <t>Relationship</t>
  </si>
  <si>
    <t>Skills</t>
  </si>
  <si>
    <t>Willing to help</t>
  </si>
  <si>
    <t>Expertise</t>
  </si>
  <si>
    <t>Press story</t>
  </si>
  <si>
    <t>Contact consent</t>
  </si>
  <si>
    <t>Anonymised analysis</t>
  </si>
  <si>
    <t>Participation acknowledged</t>
  </si>
  <si>
    <t>Joined</t>
  </si>
  <si>
    <t>Updated</t>
  </si>
  <si>
    <t>Alex Owner</t>
  </si>
  <si>
    <t>United Kingdom</t>
  </si>
  <si>
    <t>Current owner</t>
  </si>
  <si>
    <t>Community support; Technical</t>
  </si>
  <si>
    <t>false</t>
  </si>
  <si>
    <t/>
  </si>
  <si>
    <t>true</t>
  </si>
  <si>
    <t>2026-07-18T14:15:00Z</t>
  </si>
  <si>
    <t>Vehicle</t>
  </si>
  <si>
    <t>Registration</t>
  </si>
  <si>
    <t>VIN last 6</t>
  </si>
  <si>
    <t>Model year</t>
  </si>
  <si>
    <t>Mileage</t>
  </si>
  <si>
    <t>Owned since</t>
  </si>
  <si>
    <t>First registered</t>
  </si>
  <si>
    <t>Latest SoH %</t>
  </si>
  <si>
    <t>SoH measured</t>
  </si>
  <si>
    <t>SoH mileage</t>
  </si>
  <si>
    <t>SoH source</t>
  </si>
  <si>
    <t>Created</t>
  </si>
  <si>
    <t>SAMPLE1</t>
  </si>
  <si>
    <t>123456</t>
  </si>
  <si>
    <t>2020</t>
  </si>
  <si>
    <t>2021-03-12</t>
  </si>
  <si>
    <t>2020-11-06</t>
  </si>
  <si>
    <t>2026-07-20</t>
  </si>
  <si>
    <t>Independent diagnostic</t>
  </si>
  <si>
    <t>2026-07-28T09:00:00Z</t>
  </si>
  <si>
    <t>SAMPLE2</t>
  </si>
  <si>
    <t>654321</t>
  </si>
  <si>
    <t>2022</t>
  </si>
  <si>
    <t>2024-01-20</t>
  </si>
  <si>
    <t>2022-05-17</t>
  </si>
  <si>
    <t>2026-07-22</t>
  </si>
  <si>
    <t>Dealer report</t>
  </si>
  <si>
    <t>2026-07-19T14:15:00Z</t>
  </si>
  <si>
    <t>Measured</t>
  </si>
  <si>
    <t>State of health %</t>
  </si>
  <si>
    <t>Source</t>
  </si>
  <si>
    <t>Recorded</t>
  </si>
  <si>
    <t>2025-08-12</t>
  </si>
  <si>
    <t>2025-10-03</t>
  </si>
  <si>
    <t>2026-01-16</t>
  </si>
  <si>
    <t>Type</t>
  </si>
  <si>
    <t>Date</t>
  </si>
  <si>
    <t>Title</t>
  </si>
  <si>
    <t>Description</t>
  </si>
  <si>
    <t>Status</t>
  </si>
  <si>
    <t>Campaigns</t>
  </si>
  <si>
    <t>Service provider</t>
  </si>
  <si>
    <t>Provider postcode</t>
  </si>
  <si>
    <t>Authorised JLR provider</t>
  </si>
  <si>
    <t>Final fix date</t>
  </si>
  <si>
    <t>Days to final fix</t>
  </si>
  <si>
    <t>Courtesy vehicle offered</t>
  </si>
  <si>
    <t>Courtesy vehicle provided</t>
  </si>
  <si>
    <t>Parts delay</t>
  </si>
  <si>
    <t>Goodwill payment</t>
  </si>
  <si>
    <t>Miles driven whilst faulty</t>
  </si>
  <si>
    <t>Warranty cover</t>
  </si>
  <si>
    <t>Dispute status</t>
  </si>
  <si>
    <t>Executive Office acknowledgement</t>
  </si>
  <si>
    <t>Executive Office reply</t>
  </si>
  <si>
    <t>Executive Office outcome</t>
  </si>
  <si>
    <t>Satisfied with outcome</t>
  </si>
  <si>
    <t>JLR Client Care case reference</t>
  </si>
  <si>
    <t>2025-11-14</t>
  </si>
  <si>
    <t>Traction battery warning</t>
  </si>
  <si>
    <t>Warning displayed; vehicle inspected by retailer.</t>
  </si>
  <si>
    <t>Resolved</t>
  </si>
  <si>
    <t>Sample campaign A</t>
  </si>
  <si>
    <t>Example Jaguar North</t>
  </si>
  <si>
    <t>AB1 2CD</t>
  </si>
  <si>
    <t>Yes</t>
  </si>
  <si>
    <t>2025-11-20</t>
  </si>
  <si>
    <t>up-to-1-week</t>
  </si>
  <si>
    <t>Full</t>
  </si>
  <si>
    <t>None</t>
  </si>
  <si>
    <t>2026-03-08</t>
  </si>
  <si>
    <t>Scheduled service</t>
  </si>
  <si>
    <t>Routine inspection and software updates.</t>
  </si>
  <si>
    <t>Complete</t>
  </si>
  <si>
    <t>Not applicable</t>
  </si>
  <si>
    <t>2026-02-11</t>
  </si>
  <si>
    <t>Recall inspection</t>
  </si>
  <si>
    <t>Vehicle inspected and returned the same day.</t>
  </si>
  <si>
    <t>Sample campaign B</t>
  </si>
  <si>
    <t>Example Jaguar South</t>
  </si>
  <si>
    <t>XY9 8ZZ</t>
  </si>
  <si>
    <t>No</t>
  </si>
  <si>
    <t>none</t>
  </si>
  <si>
    <t>Battery health check</t>
  </si>
  <si>
    <t>Diagnostic report added to personal records.</t>
  </si>
  <si>
    <t>Editorial title</t>
  </si>
  <si>
    <t>Published name</t>
  </si>
  <si>
    <t>Experience (Markdown)</t>
  </si>
  <si>
    <t>Linked service and JLR records</t>
  </si>
  <si>
    <t>Linked SoH readings</t>
  </si>
  <si>
    <t>Executive Office contacts</t>
  </si>
  <si>
    <t>Website permission</t>
  </si>
  <si>
    <t>Third-party permission</t>
  </si>
  <si>
    <t>Copyright confirmed</t>
  </si>
  <si>
    <t>Truthful confirmed</t>
  </si>
  <si>
    <t>Consent version</t>
  </si>
  <si>
    <t>Consent recorded</t>
  </si>
  <si>
    <t>Member message</t>
  </si>
  <si>
    <t>Media count</t>
  </si>
  <si>
    <t>Media names</t>
  </si>
  <si>
    <t>Published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</si>
</sst>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name val="Calibri"/>
      <family val="2"/>
      <color theme="1"/>
      <sz val="11"/>
    </font>
    <font>
      <family val="2"/>
      <b val="1"/>
      <color rgb="FFFFFFFF"/>
      <sz val="18"/>
    </font>
    <font>
      <family val="2"/>
      <b val="1"/>
      <color rgb="FFFFFFFF"/>
    </font>
    <font>
      <family val="2"/>
      <b val="1"/>
      <color rgb="FF12324A"/>
    </font>
    <font>
      <family val="2"/>
      <color rgb="FF12324A"/>
      <sz val="10"/>
    </font>
  </fonts>
  <fills count="5">
    <fill>
      <patternFill patternType="none"/>
    </fill>
    <fill>
      <patternFill patternType="gray125"/>
    </fill>
    <fill>
      <patternFill patternType="solid">
        <fgColor rgb="FF12324A"/>
      </patternFill>
    </fill>
    <fill>
      <patternFill patternType="solid">
        <fgColor rgb="FF0F766E"/>
      </patternFill>
    </fill>
    <fill>
      <patternFill patternType="solid">
        <fgColor rgb="FFE8F3F1"/>
      </patternFill>
    </fill>
  </fills>
  <borders count="1">
    <border>
      <left/>
      <right/>
      <top/>
      <bottom/>
      <diagonal/>
    </border>
  </borders>
  <cellStyleXfs count="1">
    <xf numFmtId="0" fontId="0" fillId="0" borderId="0"/>
  </cellStyleXfs>
  <cellXfs count="6">
    <xf numFmtId="0" fontId="0" fillId="0" borderId="0" xfId="0"/>
    <xf numFmtId="0" fontId="1" fillId="2" borderId="0" xfId="0" applyFont="true" applyFill="true" applyAlignment="true">
      <alignment vertical="center"/>
    </xf>
    <xf numFmtId="0" fontId="2" fillId="3" borderId="0" xfId="0" applyFont="true" applyFill="true" applyAlignment="true">
      <alignment vertical="center" wrapText="true"/>
    </xf>
    <xf numFmtId="0" fontId="3" fillId="4" borderId="0" xfId="0" applyFont="true" applyFill="true" applyAlignment="false">
      <alignment/>
    </xf>
    <xf numFmtId="0" fontId="4" fillId="4" borderId="0" xfId="0" applyFont="true" applyFill="true" applyAlignment="true">
      <alignment vertical="top" wrapText="true"/>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worksheets/sheet5.xml" Type="http://schemas.openxmlformats.org/officeDocument/2006/relationships/worksheet"></Relationship><Relationship Id="rId8" Target="worksheets/sheet6.xml" Type="http://schemas.openxmlformats.org/officeDocument/2006/relationships/worksheet"></Relationship><Relationship Id="rId9" Target="/xl/sharedStrings.xml" Type="http://schemas.openxmlformats.org/officeDocument/2006/relationships/sharedStrings"></Relationship></Relationships>
</file>

<file path=xl/charts/chart1.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latin typeface="+mn-lt"/>
                <a:ea typeface="+mn-ea"/>
                <a:cs typeface="+mn-cs"/>
              </a:defRPr>
            </a:pPr>
            <a:r>
              <a:rPr b="false" baseline="0" i="false" kern="0" spc="0" sz="1400">
                <a:solidFill>
                  <a:srgbClr val="595959"/>
                </a:solidFill>
              </a:rPr>
              <a:t>State of health history</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lineChart>
        <grouping val="standard"/>
        <varyColors val="0"/>
        <ser>
          <idx val="0"/>
          <order val="0"/>
          <tx>
            <strRef>
              <f>State of health %</f>
            </strRef>
          </tx>
          <spPr>
            <a:ln cap="rnd" w="25400"/>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circle"/>
            <size val="6"/>
            <spPr/>
          </marker>
          <invertIfNegative val="0"/>
          <cat>
            <strRef>
              <f>'SoH History'!$B$2:$B$6</f>
            </strRef>
          </cat>
          <val>
            <numRef>
              <f>'SoH History'!$C$2:$C$6</f>
              <numCache>
                <formatCode/>
              </numCache>
            </numRef>
          </val>
          <smooth val="0"/>
        </ser>
        <dLbls>
          <showLegendKey val="0"/>
          <showVal val="0"/>
          <showCatName val="0"/>
          <showSerName val="0"/>
          <showPercent val="0"/>
          <showBubbleSize val="0"/>
          <showLeaderLines val="0"/>
        </dLbls>
        <axId val="100000000"/>
        <axId val="100000001"/>
      </line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1"/>
        <crosses val="autoZero"/>
        <auto val="1"/>
        <lblAlgn val="ctr"/>
        <lblOffset val="100"/>
        <noMultiLvlLbl val="0"/>
      </catAx>
      <valAx>
        <axId val="100000001"/>
        <scaling>
          <orientation val="minMax"/>
          <max val="100"/>
          <min val="0"/>
        </scaling>
        <delete val="0"/>
        <axPos val="l"/>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spPr/>
    </plotArea>
    <legend>
      <legendPos val="b"/>
      <overlay val="0"/>
    </legend>
    <plotVisOnly val="0"/>
    <dispBlanksAs val="gap"/>
    <showDLblsOverMax val="0"/>
  </chart>
  <spPr/>
  <printSettings>
    <pageMargins b="0.75" footer="0.3" header="0.3" l="0.7" r="0.7" t="0.7"/>
  </printSettings>
</chartSpace>
</file>

<file path=xl/charts/chart2.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latin typeface="+mn-lt"/>
                <a:ea typeface="+mn-ea"/>
                <a:cs typeface="+mn-cs"/>
              </a:defRPr>
            </a:pPr>
            <a:r>
              <a:rPr b="false" baseline="0" i="false" kern="0" spc="0" sz="1400">
                <a:solidFill>
                  <a:srgbClr val="595959"/>
                </a:solidFill>
              </a:rPr>
              <a:t>Service and fault events</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barChart>
        <barDir val="col"/>
        <grouping val="clustered"/>
        <varyColors val="1"/>
        <ser>
          <idx val="0"/>
          <order val="0"/>
          <tx>
            <strRef>
              <f>Events</f>
            </strRef>
          </tx>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Summary!$J$2:$J$5</f>
            </strRef>
          </cat>
          <val>
            <numRef>
              <f>Summary!$K$2:$K$5</f>
              <numCache>
                <formatCode/>
              </numCache>
            </numRef>
          </val>
          <smooth val="0"/>
        </ser>
        <dLbls>
          <showLegendKey val="0"/>
          <showVal val="0"/>
          <showCatName val="0"/>
          <showSerName val="0"/>
          <showPercent val="0"/>
          <showBubbleSize val="0"/>
          <showLeaderLines val="0"/>
        </dLbls>
        <axId val="100000000"/>
        <axId val="100000001"/>
      </bar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1"/>
        <crosses val="autoZero"/>
        <auto val="1"/>
        <lblAlgn val="ctr"/>
        <lblOffset val="100"/>
        <noMultiLvlLbl val="0"/>
      </catAx>
      <valAx>
        <axId val="100000001"/>
        <scaling>
          <orientation val="minMax"/>
        </scaling>
        <delete val="0"/>
        <axPos val="l"/>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spPr/>
    </plotArea>
    <plotVisOnly val="0"/>
    <dispBlanksAs val="gap"/>
    <showDLblsOverMax val="0"/>
  </chart>
  <spPr/>
  <printSettings>
    <pageMargins b="0.75" footer="0.3" header="0.3" l="0.7" r="0.7" t="0.7"/>
  </printSettings>
</chartSpace>
</file>

<file path=xl/drawings/_rels/drawing1.xml.rels><?xml version="1.0" encoding="UTF-8"?>
<Relationships xmlns="http://schemas.openxmlformats.org/package/2006/relationships"><Relationship Id="rId1" Target="../charts/chart1.xml" Type="http://schemas.openxmlformats.org/officeDocument/2006/relationships/chart"></Relationship><Relationship Id="rId2" Target="../charts/chart2.xml" Type="http://schemas.openxmlformats.org/officeDocument/2006/relationships/chart"></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3</xdr:col>
      <xdr:colOff>0</xdr:colOff>
      <xdr:row>2</xdr:row>
      <xdr:rowOff>0</xdr:rowOff>
    </xdr:from>
    <xdr:to>
      <xdr:col>8</xdr:col>
      <xdr:colOff>381000</xdr:colOff>
      <xdr:row>16</xdr:row>
      <xdr:rowOff>142875</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true" fPrintsWithSheet="true"/>
  </xdr:twoCellAnchor>
  <xdr:twoCellAnchor>
    <xdr:from>
      <xdr:col>3</xdr:col>
      <xdr:colOff>0</xdr:colOff>
      <xdr:row>18</xdr:row>
      <xdr:rowOff>0</xdr:rowOff>
    </xdr:from>
    <xdr:to>
      <xdr:col>8</xdr:col>
      <xdr:colOff>381000</xdr:colOff>
      <xdr:row>34</xdr:row>
      <xdr:rowOff>114300</xdr:rowOff>
    </xdr:to>
    <xdr:graphicFrame macro="">
      <xdr:nvGraphicFramePr>
        <xdr:cNvPr id="3" name="Chart 3"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defaultRowHeight="15"/>
  <cols>
    <col customWidth="true" max="1" min="1" width="27"/>
    <col customWidth="true" max="2" min="2" width="34"/>
    <col customWidth="true" max="9" min="4" width="15"/>
    <col customWidth="true" hidden="true" max="11" min="10" width="15"/>
  </cols>
  <sheetData>
    <row r="1" ht="32" customHeight="true">
      <c r="A1" s="1" t="s">
        <v>0</v>
      </c>
      <c r="B1" s="1"/>
      <c r="C1" s="1"/>
      <c r="D1" s="1"/>
      <c r="E1" s="1"/>
      <c r="F1" s="1"/>
      <c r="J1" t="s">
        <v>11</v>
      </c>
      <c r="K1" t="s">
        <v>12</v>
      </c>
    </row>
    <row r="2">
      <c r="J2" t="s">
        <v>13</v>
      </c>
      <c r="K2">
        <v>1</v>
      </c>
    </row>
    <row r="3">
      <c r="A3" s="3" t="s">
        <v>1</v>
      </c>
      <c r="B3" t="s">
        <v>2</v>
      </c>
      <c r="J3" t="s">
        <v>14</v>
      </c>
      <c r="K3">
        <v>1</v>
      </c>
    </row>
    <row r="4">
      <c r="A4" s="3" t="s">
        <v>3</v>
      </c>
      <c r="B4" t="s">
        <v>4</v>
      </c>
      <c r="J4" t="s">
        <v>15</v>
      </c>
      <c r="K4">
        <v>1</v>
      </c>
    </row>
    <row r="5">
      <c r="A5" s="3"/>
      <c r="J5" t="s">
        <v>16</v>
      </c>
      <c r="K5">
        <v>1</v>
      </c>
    </row>
    <row r="6">
      <c r="A6" s="3" t="s">
        <v>5</v>
      </c>
      <c r="B6">
        <v>1</v>
      </c>
    </row>
    <row r="7">
      <c r="A7" s="3" t="s">
        <v>6</v>
      </c>
      <c r="B7">
        <v>2</v>
      </c>
    </row>
    <row r="8">
      <c r="A8" s="3" t="s">
        <v>7</v>
      </c>
      <c r="B8">
        <v>5</v>
      </c>
    </row>
    <row r="9">
      <c r="A9" s="3" t="s">
        <v>8</v>
      </c>
      <c r="B9">
        <v>4</v>
      </c>
    </row>
    <row r="10">
      <c r="A10" s="3" t="s">
        <v>9</v>
      </c>
      <c r="B10">
        <v>0</v>
      </c>
    </row>
    <row r="12" ht="24" customHeight="true">
      <c r="A12" s="4" t="s">
        <v>10</v>
      </c>
      <c r="B12" s="4"/>
    </row>
    <row r="13" ht="24" customHeight="true">
      <c r="A13" s="4"/>
      <c r="B13" s="4"/>
    </row>
    <row r="14" ht="24" customHeight="true">
      <c r="A14" s="4"/>
      <c r="B14" s="4"/>
    </row>
  </sheetData>
  <mergeCells count="2">
    <mergeCell ref="A1:F1"/>
    <mergeCell ref="A12:B14"/>
  </mergeCells>
  <drawing r:id="rId1"/>
</worksheet>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showGridLines="false" workbookViewId="0">
      <pane activePane="bottomLeft" state="frozen" topLeftCell="A2" ySplit="1"/>
    </sheetView>
  </sheetViews>
  <cols>
    <col customWidth="true" max="13" min="1" width="18"/>
  </cols>
  <sheetData>
    <row r="1" ht="30" customHeight="true">
      <c r="A1" s="2" t="s">
        <v>17</v>
      </c>
      <c r="B1" s="2" t="s">
        <v>18</v>
      </c>
      <c r="C1" s="2" t="s">
        <v>19</v>
      </c>
      <c r="D1" s="2" t="s">
        <v>20</v>
      </c>
      <c r="E1" s="2" t="s">
        <v>21</v>
      </c>
      <c r="F1" s="2" t="s">
        <v>22</v>
      </c>
      <c r="G1" s="2" t="s">
        <v>23</v>
      </c>
      <c r="H1" s="2" t="s">
        <v>24</v>
      </c>
      <c r="I1" s="2" t="s">
        <v>25</v>
      </c>
      <c r="J1" s="2" t="s">
        <v>26</v>
      </c>
      <c r="K1" s="2" t="s">
        <v>27</v>
      </c>
      <c r="L1" s="2" t="s">
        <v>28</v>
      </c>
      <c r="M1" s="2" t="s">
        <v>29</v>
      </c>
    </row>
    <row r="2">
      <c r="A2" s="5" t="s">
        <v>4</v>
      </c>
      <c r="B2" s="5" t="s">
        <v>30</v>
      </c>
      <c r="C2" s="5" t="s">
        <v>31</v>
      </c>
      <c r="D2" s="5" t="s">
        <v>32</v>
      </c>
      <c r="E2" s="5" t="s">
        <v>33</v>
      </c>
      <c r="F2" s="5" t="s">
        <v>34</v>
      </c>
      <c r="G2" s="5" t="s">
        <v>35</v>
      </c>
      <c r="H2" s="5" t="s">
        <v>34</v>
      </c>
      <c r="I2" s="5" t="s">
        <v>36</v>
      </c>
      <c r="J2" s="5" t="s">
        <v>36</v>
      </c>
      <c r="K2" s="5" t="s">
        <v>36</v>
      </c>
      <c r="L2" s="5" t="s">
        <v>37</v>
      </c>
      <c r="M2" s="5" t="s">
        <v>37</v>
      </c>
    </row>
  </sheetData>
  <autoFilter ref="$A$1:$M$2"/>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showGridLines="false" workbookViewId="0">
      <pane activePane="bottomLeft" state="frozen" topLeftCell="A2" ySplit="1"/>
    </sheetView>
  </sheetViews>
  <cols>
    <col customWidth="true" max="14" min="1" width="18"/>
  </cols>
  <sheetData>
    <row r="1" ht="30" customHeight="true">
      <c r="A1" s="2" t="s">
        <v>38</v>
      </c>
      <c r="B1" s="2" t="s">
        <v>39</v>
      </c>
      <c r="C1" s="2" t="s">
        <v>40</v>
      </c>
      <c r="D1" s="2" t="s">
        <v>19</v>
      </c>
      <c r="E1" s="2" t="s">
        <v>41</v>
      </c>
      <c r="F1" s="2" t="s">
        <v>42</v>
      </c>
      <c r="G1" s="2" t="s">
        <v>43</v>
      </c>
      <c r="H1" s="2" t="s">
        <v>44</v>
      </c>
      <c r="I1" s="2" t="s">
        <v>45</v>
      </c>
      <c r="J1" s="2" t="s">
        <v>46</v>
      </c>
      <c r="K1" s="2" t="s">
        <v>47</v>
      </c>
      <c r="L1" s="2" t="s">
        <v>48</v>
      </c>
      <c r="M1" s="2" t="s">
        <v>49</v>
      </c>
      <c r="N1" s="2" t="s">
        <v>29</v>
      </c>
    </row>
    <row r="2">
      <c r="A2" s="5" t="s">
        <v>50</v>
      </c>
      <c r="B2" s="5" t="s">
        <v>50</v>
      </c>
      <c r="C2" s="5" t="s">
        <v>51</v>
      </c>
      <c r="D2" s="5" t="s">
        <v>31</v>
      </c>
      <c r="E2" s="5" t="s">
        <v>52</v>
      </c>
      <c r="F2" s="5">
        <v>48520</v>
      </c>
      <c r="G2" s="5" t="s">
        <v>53</v>
      </c>
      <c r="H2" s="5" t="s">
        <v>54</v>
      </c>
      <c r="I2" s="5">
        <v>88.4</v>
      </c>
      <c r="J2" s="5" t="s">
        <v>55</v>
      </c>
      <c r="K2" s="5">
        <v>48380</v>
      </c>
      <c r="L2" s="5" t="s">
        <v>56</v>
      </c>
      <c r="M2" s="5" t="s">
        <v>37</v>
      </c>
      <c r="N2" s="5" t="s">
        <v>57</v>
      </c>
    </row>
    <row r="3">
      <c r="A3" t="s">
        <v>58</v>
      </c>
      <c r="B3" t="s">
        <v>58</v>
      </c>
      <c r="C3" t="s">
        <v>59</v>
      </c>
      <c r="D3" t="s">
        <v>31</v>
      </c>
      <c r="E3" t="s">
        <v>60</v>
      </c>
      <c r="F3">
        <v>21840</v>
      </c>
      <c r="G3" t="s">
        <v>61</v>
      </c>
      <c r="H3" t="s">
        <v>62</v>
      </c>
      <c r="I3">
        <v>94.1</v>
      </c>
      <c r="J3" t="s">
        <v>63</v>
      </c>
      <c r="K3">
        <v>21790</v>
      </c>
      <c r="L3" t="s">
        <v>64</v>
      </c>
      <c r="M3" t="s">
        <v>65</v>
      </c>
      <c r="N3" t="s">
        <v>57</v>
      </c>
    </row>
  </sheetData>
  <autoFilter ref="$A$1:$N$3"/>
</worksheet>
</file>

<file path=xl/worksheets/sheet4.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showGridLines="false" workbookViewId="0">
      <pane activePane="bottomLeft" state="frozen" topLeftCell="A2" ySplit="1"/>
    </sheetView>
  </sheetViews>
  <cols>
    <col customWidth="true" max="7" min="1" width="18"/>
  </cols>
  <sheetData>
    <row r="1" ht="30" customHeight="true">
      <c r="A1" s="2" t="s">
        <v>38</v>
      </c>
      <c r="B1" s="2" t="s">
        <v>66</v>
      </c>
      <c r="C1" s="2" t="s">
        <v>67</v>
      </c>
      <c r="D1" s="2" t="s">
        <v>42</v>
      </c>
      <c r="E1" s="2" t="s">
        <v>68</v>
      </c>
      <c r="F1" s="2" t="s">
        <v>69</v>
      </c>
      <c r="G1" s="2" t="s">
        <v>29</v>
      </c>
    </row>
    <row r="2">
      <c r="A2" s="5" t="s">
        <v>58</v>
      </c>
      <c r="B2" s="5" t="s">
        <v>70</v>
      </c>
      <c r="C2" s="5">
        <v>96.3</v>
      </c>
      <c r="D2" s="5">
        <v>13250</v>
      </c>
      <c r="E2" s="5" t="s">
        <v>64</v>
      </c>
      <c r="F2" s="5" t="s">
        <v>57</v>
      </c>
      <c r="G2" s="5" t="s">
        <v>57</v>
      </c>
    </row>
    <row r="3">
      <c r="A3" t="s">
        <v>50</v>
      </c>
      <c r="B3" t="s">
        <v>71</v>
      </c>
      <c r="C3">
        <v>92.7</v>
      </c>
      <c r="D3">
        <v>39120</v>
      </c>
      <c r="E3" t="s">
        <v>64</v>
      </c>
      <c r="F3" t="s">
        <v>57</v>
      </c>
      <c r="G3" t="s">
        <v>57</v>
      </c>
    </row>
    <row r="4">
      <c r="A4" s="5" t="s">
        <v>50</v>
      </c>
      <c r="B4" s="5" t="s">
        <v>72</v>
      </c>
      <c r="C4" s="5">
        <v>91.2</v>
      </c>
      <c r="D4" s="5">
        <v>42460</v>
      </c>
      <c r="E4" s="5" t="s">
        <v>56</v>
      </c>
      <c r="F4" s="5" t="s">
        <v>57</v>
      </c>
      <c r="G4" s="5" t="s">
        <v>57</v>
      </c>
    </row>
    <row r="5">
      <c r="A5" t="s">
        <v>50</v>
      </c>
      <c r="B5" t="s">
        <v>55</v>
      </c>
      <c r="C5">
        <v>88.4</v>
      </c>
      <c r="D5">
        <v>48380</v>
      </c>
      <c r="E5" t="s">
        <v>56</v>
      </c>
      <c r="F5" t="s">
        <v>57</v>
      </c>
      <c r="G5" t="s">
        <v>57</v>
      </c>
    </row>
    <row r="6">
      <c r="A6" s="5" t="s">
        <v>58</v>
      </c>
      <c r="B6" s="5" t="s">
        <v>63</v>
      </c>
      <c r="C6" s="5">
        <v>94.1</v>
      </c>
      <c r="D6" s="5">
        <v>21790</v>
      </c>
      <c r="E6" s="5" t="s">
        <v>64</v>
      </c>
      <c r="F6" s="5" t="s">
        <v>57</v>
      </c>
      <c r="G6" s="5" t="s">
        <v>57</v>
      </c>
    </row>
  </sheetData>
  <autoFilter ref="$A$1:$G$6"/>
</worksheet>
</file>

<file path=xl/worksheets/sheet5.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showGridLines="false" workbookViewId="0">
      <pane activePane="bottomLeft" state="frozen" topLeftCell="A2" ySplit="1"/>
    </sheetView>
  </sheetViews>
  <cols>
    <col customWidth="true" max="27" min="1" width="18"/>
  </cols>
  <sheetData>
    <row r="1" ht="30" customHeight="true">
      <c r="A1" s="2" t="s">
        <v>38</v>
      </c>
      <c r="B1" s="2" t="s">
        <v>73</v>
      </c>
      <c r="C1" s="2" t="s">
        <v>74</v>
      </c>
      <c r="D1" s="2" t="s">
        <v>42</v>
      </c>
      <c r="E1" s="2" t="s">
        <v>75</v>
      </c>
      <c r="F1" s="2" t="s">
        <v>76</v>
      </c>
      <c r="G1" s="2" t="s">
        <v>77</v>
      </c>
      <c r="H1" s="2" t="s">
        <v>78</v>
      </c>
      <c r="I1" s="2" t="s">
        <v>79</v>
      </c>
      <c r="J1" s="2" t="s">
        <v>80</v>
      </c>
      <c r="K1" s="2" t="s">
        <v>81</v>
      </c>
      <c r="L1" s="2" t="s">
        <v>82</v>
      </c>
      <c r="M1" s="2" t="s">
        <v>83</v>
      </c>
      <c r="N1" s="2" t="s">
        <v>84</v>
      </c>
      <c r="O1" s="2" t="s">
        <v>85</v>
      </c>
      <c r="P1" s="2" t="s">
        <v>86</v>
      </c>
      <c r="Q1" s="2" t="s">
        <v>87</v>
      </c>
      <c r="R1" s="2" t="s">
        <v>88</v>
      </c>
      <c r="S1" s="2" t="s">
        <v>89</v>
      </c>
      <c r="T1" s="2" t="s">
        <v>90</v>
      </c>
      <c r="U1" s="2" t="s">
        <v>91</v>
      </c>
      <c r="V1" s="2" t="s">
        <v>92</v>
      </c>
      <c r="W1" s="2" t="s">
        <v>93</v>
      </c>
      <c r="X1" s="2" t="s">
        <v>94</v>
      </c>
      <c r="Y1" s="2" t="s">
        <v>95</v>
      </c>
      <c r="Z1" s="2" t="s">
        <v>49</v>
      </c>
      <c r="AA1" s="2" t="s">
        <v>29</v>
      </c>
    </row>
    <row r="2">
      <c r="A2" s="5" t="s">
        <v>50</v>
      </c>
      <c r="B2" s="5" t="s">
        <v>13</v>
      </c>
      <c r="C2" s="5" t="s">
        <v>96</v>
      </c>
      <c r="D2" s="5">
        <v>40230</v>
      </c>
      <c r="E2" s="5" t="s">
        <v>97</v>
      </c>
      <c r="F2" s="5" t="s">
        <v>98</v>
      </c>
      <c r="G2" s="5" t="s">
        <v>99</v>
      </c>
      <c r="H2" s="5" t="s">
        <v>100</v>
      </c>
      <c r="I2" s="5" t="s">
        <v>101</v>
      </c>
      <c r="J2" s="5" t="s">
        <v>102</v>
      </c>
      <c r="K2" s="5" t="s">
        <v>103</v>
      </c>
      <c r="L2" s="5" t="s">
        <v>104</v>
      </c>
      <c r="M2" s="5">
        <v>6</v>
      </c>
      <c r="N2" s="5" t="s">
        <v>103</v>
      </c>
      <c r="O2" s="5" t="s">
        <v>103</v>
      </c>
      <c r="P2" s="5" t="s">
        <v>105</v>
      </c>
      <c r="Q2" s="5" t="s">
        <v>103</v>
      </c>
      <c r="R2" s="5">
        <v>220</v>
      </c>
      <c r="S2" s="5" t="s">
        <v>106</v>
      </c>
      <c r="T2" s="5" t="s">
        <v>107</v>
      </c>
      <c r="U2" s="5" t="s">
        <v>35</v>
      </c>
      <c r="V2" s="5" t="s">
        <v>35</v>
      </c>
      <c r="W2" s="5" t="s">
        <v>35</v>
      </c>
      <c r="X2" s="5" t="s">
        <v>35</v>
      </c>
      <c r="Y2" s="5" t="s">
        <v>35</v>
      </c>
      <c r="Z2" s="5" t="s">
        <v>57</v>
      </c>
      <c r="AA2" s="5" t="s">
        <v>57</v>
      </c>
    </row>
    <row r="3">
      <c r="A3" t="s">
        <v>50</v>
      </c>
      <c r="B3" t="s">
        <v>16</v>
      </c>
      <c r="C3" t="s">
        <v>108</v>
      </c>
      <c r="D3">
        <v>44700</v>
      </c>
      <c r="E3" t="s">
        <v>109</v>
      </c>
      <c r="F3" t="s">
        <v>110</v>
      </c>
      <c r="G3" t="s">
        <v>111</v>
      </c>
      <c r="H3" t="s">
        <v>35</v>
      </c>
      <c r="I3" t="s">
        <v>101</v>
      </c>
      <c r="J3" t="s">
        <v>102</v>
      </c>
      <c r="K3" t="s">
        <v>103</v>
      </c>
      <c r="L3" t="s">
        <v>35</v>
      </c>
      <c r="M3" t="s">
        <v>35</v>
      </c>
      <c r="N3" t="s">
        <v>35</v>
      </c>
      <c r="O3" t="s">
        <v>35</v>
      </c>
      <c r="P3" t="s">
        <v>35</v>
      </c>
      <c r="Q3" t="s">
        <v>35</v>
      </c>
      <c r="R3" t="s">
        <v>35</v>
      </c>
      <c r="S3" t="s">
        <v>112</v>
      </c>
      <c r="T3" t="s">
        <v>107</v>
      </c>
      <c r="U3" t="s">
        <v>35</v>
      </c>
      <c r="V3" t="s">
        <v>35</v>
      </c>
      <c r="W3" t="s">
        <v>35</v>
      </c>
      <c r="X3" t="s">
        <v>35</v>
      </c>
      <c r="Y3" t="s">
        <v>35</v>
      </c>
      <c r="Z3" t="s">
        <v>57</v>
      </c>
      <c r="AA3" t="s">
        <v>57</v>
      </c>
    </row>
    <row r="4">
      <c r="A4" s="5" t="s">
        <v>58</v>
      </c>
      <c r="B4" s="5" t="s">
        <v>15</v>
      </c>
      <c r="C4" s="5" t="s">
        <v>113</v>
      </c>
      <c r="D4" s="5">
        <v>17540</v>
      </c>
      <c r="E4" s="5" t="s">
        <v>114</v>
      </c>
      <c r="F4" s="5" t="s">
        <v>115</v>
      </c>
      <c r="G4" s="5" t="s">
        <v>111</v>
      </c>
      <c r="H4" s="5" t="s">
        <v>116</v>
      </c>
      <c r="I4" s="5" t="s">
        <v>117</v>
      </c>
      <c r="J4" s="5" t="s">
        <v>118</v>
      </c>
      <c r="K4" s="5" t="s">
        <v>103</v>
      </c>
      <c r="L4" s="5" t="s">
        <v>113</v>
      </c>
      <c r="M4" s="5">
        <v>0</v>
      </c>
      <c r="N4" s="5" t="s">
        <v>119</v>
      </c>
      <c r="O4" s="5" t="s">
        <v>119</v>
      </c>
      <c r="P4" s="5" t="s">
        <v>120</v>
      </c>
      <c r="Q4" s="5" t="s">
        <v>119</v>
      </c>
      <c r="R4" s="5">
        <v>0</v>
      </c>
      <c r="S4" s="5" t="s">
        <v>106</v>
      </c>
      <c r="T4" s="5" t="s">
        <v>107</v>
      </c>
      <c r="U4" s="5" t="s">
        <v>35</v>
      </c>
      <c r="V4" s="5" t="s">
        <v>35</v>
      </c>
      <c r="W4" s="5" t="s">
        <v>35</v>
      </c>
      <c r="X4" s="5" t="s">
        <v>35</v>
      </c>
      <c r="Y4" s="5" t="s">
        <v>35</v>
      </c>
      <c r="Z4" s="5" t="s">
        <v>57</v>
      </c>
      <c r="AA4" s="5" t="s">
        <v>57</v>
      </c>
    </row>
    <row r="5">
      <c r="A5" t="s">
        <v>58</v>
      </c>
      <c r="B5" t="s">
        <v>14</v>
      </c>
      <c r="C5" t="s">
        <v>63</v>
      </c>
      <c r="D5">
        <v>21790</v>
      </c>
      <c r="E5" t="s">
        <v>121</v>
      </c>
      <c r="F5" t="s">
        <v>122</v>
      </c>
      <c r="G5" t="s">
        <v>111</v>
      </c>
      <c r="H5" t="s">
        <v>35</v>
      </c>
      <c r="I5" t="s">
        <v>35</v>
      </c>
      <c r="J5" t="s">
        <v>35</v>
      </c>
      <c r="K5" t="s">
        <v>35</v>
      </c>
      <c r="L5" t="s">
        <v>35</v>
      </c>
      <c r="M5" t="s">
        <v>35</v>
      </c>
      <c r="N5" t="s">
        <v>35</v>
      </c>
      <c r="O5" t="s">
        <v>35</v>
      </c>
      <c r="P5" t="s">
        <v>35</v>
      </c>
      <c r="Q5" t="s">
        <v>35</v>
      </c>
      <c r="R5" t="s">
        <v>35</v>
      </c>
      <c r="S5" t="s">
        <v>112</v>
      </c>
      <c r="T5" t="s">
        <v>107</v>
      </c>
      <c r="U5" t="s">
        <v>35</v>
      </c>
      <c r="V5" t="s">
        <v>35</v>
      </c>
      <c r="W5" t="s">
        <v>35</v>
      </c>
      <c r="X5" t="s">
        <v>35</v>
      </c>
      <c r="Y5" t="s">
        <v>35</v>
      </c>
      <c r="Z5" t="s">
        <v>57</v>
      </c>
      <c r="AA5" t="s">
        <v>57</v>
      </c>
    </row>
  </sheetData>
  <autoFilter ref="$A$1:$AA$5"/>
</worksheet>
</file>

<file path=xl/worksheets/sheet6.xml><?xml version="1.0" encoding="utf-8"?>
<worksheet xmlns="http://schemas.openxmlformats.org/spreadsheetml/2006/main">
  <dimension ref="A1"/>
  <sheetViews>
    <sheetView showGridLines="false" workbookViewId="0">
      <pane activePane="bottomLeft" state="frozen" topLeftCell="A2" ySplit="1"/>
    </sheetView>
  </sheetViews>
  <cols>
    <col customWidth="true" max="21" min="1" width="18"/>
  </cols>
  <sheetData>
    <row r="1" ht="30" customHeight="true">
      <c r="A1" s="2" t="s">
        <v>77</v>
      </c>
      <c r="B1" s="2" t="s">
        <v>123</v>
      </c>
      <c r="C1" s="2" t="s">
        <v>124</v>
      </c>
      <c r="D1" s="2" t="s">
        <v>125</v>
      </c>
      <c r="E1" s="2" t="s">
        <v>38</v>
      </c>
      <c r="F1" s="2" t="s">
        <v>41</v>
      </c>
      <c r="G1" s="2" t="s">
        <v>126</v>
      </c>
      <c r="H1" s="2" t="s">
        <v>127</v>
      </c>
      <c r="I1" s="2" t="s">
        <v>128</v>
      </c>
      <c r="J1" s="2" t="s">
        <v>129</v>
      </c>
      <c r="K1" s="2" t="s">
        <v>130</v>
      </c>
      <c r="L1" s="2" t="s">
        <v>131</v>
      </c>
      <c r="M1" s="2" t="s">
        <v>132</v>
      </c>
      <c r="N1" s="2" t="s">
        <v>133</v>
      </c>
      <c r="O1" s="2" t="s">
        <v>134</v>
      </c>
      <c r="P1" s="2" t="s">
        <v>135</v>
      </c>
      <c r="Q1" s="2" t="s">
        <v>136</v>
      </c>
      <c r="R1" s="2" t="s">
        <v>137</v>
      </c>
      <c r="S1" s="2" t="s">
        <v>49</v>
      </c>
      <c r="T1" s="2" t="s">
        <v>29</v>
      </c>
      <c r="U1" s="2" t="s">
        <v>138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